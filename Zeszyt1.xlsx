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3110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D29" i="1"/>
  <c r="D28" i="1"/>
  <c r="D27" i="1"/>
  <c r="D26" i="1"/>
  <c r="D25" i="1"/>
</calcChain>
</file>

<file path=xl/sharedStrings.xml><?xml version="1.0" encoding="utf-8"?>
<sst xmlns="http://schemas.openxmlformats.org/spreadsheetml/2006/main" count="24" uniqueCount="24">
  <si>
    <t>Dysk twardy</t>
  </si>
  <si>
    <t xml:space="preserve">Model </t>
  </si>
  <si>
    <t xml:space="preserve">Nr seryjny </t>
  </si>
  <si>
    <t>Pojemość</t>
  </si>
  <si>
    <t>Procesor</t>
  </si>
  <si>
    <t xml:space="preserve">Karta graficzna </t>
  </si>
  <si>
    <t xml:space="preserve">Nazwa modelu </t>
  </si>
  <si>
    <t>Taktowanie</t>
  </si>
  <si>
    <t xml:space="preserve">Liczba rdzeni </t>
  </si>
  <si>
    <t xml:space="preserve">Producent </t>
  </si>
  <si>
    <t>Generacja modelu GPU</t>
  </si>
  <si>
    <t>LP</t>
  </si>
  <si>
    <t>Nazwa Podzespołu</t>
  </si>
  <si>
    <t>Cena jednostkowa netto</t>
  </si>
  <si>
    <t>Cena jednostkowa z VAT</t>
  </si>
  <si>
    <t>Ilość</t>
  </si>
  <si>
    <t>Wartość brutto</t>
  </si>
  <si>
    <t>WARTOŚĆ ZESTAWU</t>
  </si>
  <si>
    <t>WARTOŚĆ ZESTAWU PO RABACIE</t>
  </si>
  <si>
    <t>GPU RTX 3080Ti</t>
  </si>
  <si>
    <t>CPU I9 12900K</t>
  </si>
  <si>
    <t>PSU 1200W</t>
  </si>
  <si>
    <t>MOBO B450 AOURUS ELITE</t>
  </si>
  <si>
    <t xml:space="preserve">RAM 16GB CL16 3600MHZ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</si>
</sst>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8" workbookViewId="0">
      <selection activeCell="F32" sqref="F32"/>
    </sheetView>
  </sheetViews>
  <sheetFormatPr defaultRowHeight="15" x14ac:dyDescent="0.25"/>
  <cols>
    <col min="1" max="1" width="3" customWidth="1"/>
    <col min="2" max="2" width="25.42578125" customWidth="1"/>
    <col min="3" max="3" width="23.42578125" customWidth="1"/>
    <col min="4" max="4" width="22.5703125" customWidth="1"/>
    <col min="5" max="5" width="26.42578125" customWidth="1"/>
  </cols>
  <sheetData>
    <row r="1" spans="1:5" x14ac:dyDescent="0.25">
      <c r="A1" s="4"/>
      <c r="B1" s="2"/>
      <c r="C1" s="1"/>
    </row>
    <row r="2" spans="1:5" x14ac:dyDescent="0.25">
      <c r="A2" s="5"/>
      <c r="B2" s="2"/>
      <c r="C2" s="1"/>
    </row>
    <row r="3" spans="1:5" x14ac:dyDescent="0.25">
      <c r="A3" s="3"/>
      <c r="B3" s="2"/>
      <c r="C3" s="1"/>
    </row>
    <row r="4" spans="1:5" x14ac:dyDescent="0.25">
      <c r="A4" s="3"/>
      <c r="B4" s="1"/>
      <c r="C4" s="1"/>
    </row>
    <row r="5" spans="1:5" x14ac:dyDescent="0.25">
      <c r="A5" s="1"/>
      <c r="B5" s="1"/>
      <c r="C5" s="1"/>
    </row>
    <row r="6" spans="1:5" x14ac:dyDescent="0.25">
      <c r="A6" s="1"/>
      <c r="B6" s="1"/>
      <c r="C6" s="1"/>
    </row>
    <row r="7" spans="1:5" x14ac:dyDescent="0.25">
      <c r="A7" s="1"/>
      <c r="B7" s="1"/>
      <c r="C7" s="1"/>
    </row>
    <row r="8" spans="1:5" x14ac:dyDescent="0.25">
      <c r="A8" s="1"/>
      <c r="B8" s="1"/>
      <c r="C8" s="1"/>
    </row>
    <row r="14" spans="1:5" x14ac:dyDescent="0.25">
      <c r="C14" s="6" t="s">
        <v>0</v>
      </c>
      <c r="D14" s="2" t="s">
        <v>1</v>
      </c>
      <c r="E14" s="1"/>
    </row>
    <row r="15" spans="1:5" x14ac:dyDescent="0.25">
      <c r="C15" s="7"/>
      <c r="D15" s="2" t="s">
        <v>2</v>
      </c>
      <c r="E15" s="1"/>
    </row>
    <row r="16" spans="1:5" x14ac:dyDescent="0.25">
      <c r="C16" s="8"/>
      <c r="D16" s="2" t="s">
        <v>3</v>
      </c>
      <c r="E16" s="1"/>
    </row>
    <row r="17" spans="1:6" x14ac:dyDescent="0.25">
      <c r="C17" s="6" t="s">
        <v>4</v>
      </c>
      <c r="D17" s="2" t="s">
        <v>6</v>
      </c>
      <c r="E17" s="1"/>
    </row>
    <row r="18" spans="1:6" x14ac:dyDescent="0.25">
      <c r="C18" s="7"/>
      <c r="D18" s="2" t="s">
        <v>7</v>
      </c>
      <c r="E18" s="1"/>
    </row>
    <row r="19" spans="1:6" x14ac:dyDescent="0.25">
      <c r="C19" s="8"/>
      <c r="D19" s="2" t="s">
        <v>8</v>
      </c>
      <c r="E19" s="1"/>
    </row>
    <row r="20" spans="1:6" x14ac:dyDescent="0.25">
      <c r="C20" s="6" t="s">
        <v>5</v>
      </c>
      <c r="D20" s="2" t="s">
        <v>9</v>
      </c>
      <c r="E20" s="1"/>
    </row>
    <row r="21" spans="1:6" x14ac:dyDescent="0.25">
      <c r="C21" s="8"/>
      <c r="D21" s="2" t="s">
        <v>10</v>
      </c>
      <c r="E21" s="1"/>
    </row>
    <row r="24" spans="1:6" ht="40.5" customHeight="1" x14ac:dyDescent="0.25">
      <c r="A24" s="9" t="s">
        <v>11</v>
      </c>
      <c r="B24" s="9" t="s">
        <v>12</v>
      </c>
      <c r="C24" s="10" t="s">
        <v>13</v>
      </c>
      <c r="D24" s="9" t="s">
        <v>14</v>
      </c>
      <c r="E24" s="9" t="s">
        <v>15</v>
      </c>
      <c r="F24" s="10" t="s">
        <v>16</v>
      </c>
    </row>
    <row r="25" spans="1:6" x14ac:dyDescent="0.25">
      <c r="A25" s="1">
        <v>1</v>
      </c>
      <c r="B25" s="1" t="s">
        <v>21</v>
      </c>
      <c r="C25" s="1">
        <v>500</v>
      </c>
      <c r="D25" s="1">
        <f>C25*1.23</f>
        <v>615</v>
      </c>
      <c r="E25" s="1">
        <v>1</v>
      </c>
      <c r="F25" s="1">
        <f>D25</f>
        <v>615</v>
      </c>
    </row>
    <row r="26" spans="1:6" x14ac:dyDescent="0.25">
      <c r="A26" s="1">
        <v>2</v>
      </c>
      <c r="B26" s="1" t="s">
        <v>19</v>
      </c>
      <c r="C26" s="1">
        <v>7000</v>
      </c>
      <c r="D26" s="1">
        <f>C26*1.23</f>
        <v>8610</v>
      </c>
      <c r="E26" s="1">
        <v>1</v>
      </c>
      <c r="F26" s="1">
        <f>D26</f>
        <v>8610</v>
      </c>
    </row>
    <row r="27" spans="1:6" x14ac:dyDescent="0.25">
      <c r="A27" s="1">
        <v>3</v>
      </c>
      <c r="B27" s="1" t="s">
        <v>20</v>
      </c>
      <c r="C27" s="1">
        <v>3000</v>
      </c>
      <c r="D27" s="1">
        <f>C27*1.23</f>
        <v>3690</v>
      </c>
      <c r="E27" s="1">
        <v>1</v>
      </c>
      <c r="F27" s="1">
        <f>D27</f>
        <v>3690</v>
      </c>
    </row>
    <row r="28" spans="1:6" x14ac:dyDescent="0.25">
      <c r="A28" s="1">
        <v>4</v>
      </c>
      <c r="B28" s="1" t="s">
        <v>22</v>
      </c>
      <c r="C28" s="1">
        <v>500</v>
      </c>
      <c r="D28" s="1">
        <f>C28*1.23</f>
        <v>615</v>
      </c>
      <c r="E28" s="1">
        <v>1</v>
      </c>
      <c r="F28" s="1">
        <f>D28</f>
        <v>615</v>
      </c>
    </row>
    <row r="29" spans="1:6" x14ac:dyDescent="0.25">
      <c r="A29" s="4">
        <v>5</v>
      </c>
      <c r="B29" s="4" t="s">
        <v>23</v>
      </c>
      <c r="C29" s="4">
        <v>500</v>
      </c>
      <c r="D29" s="4">
        <f>C29*1.23</f>
        <v>615</v>
      </c>
      <c r="E29" s="4">
        <v>2</v>
      </c>
      <c r="F29" s="1">
        <f>D29</f>
        <v>615</v>
      </c>
    </row>
    <row r="30" spans="1:6" x14ac:dyDescent="0.25">
      <c r="A30" s="11" t="s">
        <v>17</v>
      </c>
      <c r="B30" s="12"/>
      <c r="C30" s="12"/>
      <c r="D30" s="12"/>
      <c r="E30" s="13"/>
      <c r="F30" s="2">
        <f>F29+F28+F27+F26+F25</f>
        <v>14145</v>
      </c>
    </row>
    <row r="31" spans="1:6" x14ac:dyDescent="0.25">
      <c r="A31" s="11" t="s">
        <v>18</v>
      </c>
      <c r="B31" s="12"/>
      <c r="C31" s="12"/>
      <c r="D31" s="12"/>
      <c r="E31" s="13"/>
      <c r="F31" s="2">
        <f>F30*0.95</f>
        <v>13437.75</v>
      </c>
    </row>
  </sheetData>
  <mergeCells count="5">
    <mergeCell ref="C14:C16"/>
    <mergeCell ref="C17:C19"/>
    <mergeCell ref="C20:C21"/>
    <mergeCell ref="A31:E31"/>
    <mergeCell ref="A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Uczen</dc:creator>
  <cp:lastModifiedBy>Uczen</cp:lastModifiedBy>
  <dcterms:created xsi:type="dcterms:W3CDTF">2021-12-06T13:31:58Z</dcterms:created>
  <dcterms:modified xsi:type="dcterms:W3CDTF">2021-12-06T13:56:50Z</dcterms:modified>
</cp:coreProperties>
</file>